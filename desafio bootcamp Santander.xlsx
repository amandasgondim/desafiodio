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ra-my.sharepoint.com/personal/a842967_yara_com/Documents/Documents/Amanda/"/>
    </mc:Choice>
  </mc:AlternateContent>
  <xr:revisionPtr revIDLastSave="2" documentId="8_{3209C592-8D14-48E5-B6C4-DFDBB2C0DD8B}" xr6:coauthVersionLast="47" xr6:coauthVersionMax="47" xr10:uidLastSave="{44E51B86-D72A-47AD-94AA-A38597C048CB}"/>
  <bookViews>
    <workbookView minimized="1" xWindow="26760" yWindow="2904" windowWidth="14400" windowHeight="7272" xr2:uid="{11452141-9552-406F-B4AA-A58753BB6A7D}"/>
  </bookViews>
  <sheets>
    <sheet name="DESAFIO INVESTIMENTO" sheetId="2" r:id="rId1"/>
    <sheet name="Tabela de apoio" sheetId="3" r:id="rId2"/>
  </sheets>
  <externalReferences>
    <externalReference r:id="rId3"/>
  </externalReferences>
  <definedNames>
    <definedName name="aporte" localSheetId="1">'[1]DESAFIO INVESTIMENTO'!$D$19</definedName>
    <definedName name="aporte">'DESAFIO INVESTIMENTO'!$D$19</definedName>
    <definedName name="patrimonio" localSheetId="1">'[1]DESAFIO INVESTIMENTO'!$D$22</definedName>
    <definedName name="patrimonio">'DESAFIO INVESTIMENTO'!$D$22</definedName>
    <definedName name="qtd_anos" localSheetId="1">'[1]DESAFIO INVESTIMENTO'!$D$20</definedName>
    <definedName name="qtd_anos">'DESAFIO INVESTIMENTO'!$D$20</definedName>
    <definedName name="rendimento_carteira" localSheetId="1">'[1]DESAFIO INVESTIMENTO'!$D$14</definedName>
    <definedName name="rendimento_carteira">'DESAFIO INVESTIMENTO'!$D$14</definedName>
    <definedName name="salario">'DESAFIO INVESTIMENTO'!$D$13</definedName>
    <definedName name="sugestao_invest">'DESAFIO INVESTIMENTO'!$D$15</definedName>
    <definedName name="taxa_mensal" localSheetId="1">'[1]DESAFIO INVESTIMENTO'!$D$21</definedName>
    <definedName name="taxa_mensal">'DESAFIO INVESTIMENTO'!$D$21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1" i="3" l="1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H5" i="3"/>
  <c r="A5" i="3"/>
  <c r="A4" i="3"/>
  <c r="C44" i="2"/>
  <c r="C43" i="2"/>
  <c r="C42" i="2"/>
  <c r="C41" i="2"/>
  <c r="C40" i="2"/>
  <c r="C39" i="2"/>
  <c r="C36" i="2"/>
  <c r="D44" i="2" s="1"/>
  <c r="C31" i="2"/>
  <c r="D31" i="2" s="1"/>
  <c r="D30" i="2"/>
  <c r="C30" i="2"/>
  <c r="C29" i="2"/>
  <c r="D29" i="2" s="1"/>
  <c r="C28" i="2"/>
  <c r="D28" i="2" s="1"/>
  <c r="C27" i="2"/>
  <c r="D27" i="2" s="1"/>
  <c r="D22" i="2"/>
  <c r="D23" i="2" s="1"/>
  <c r="D15" i="2"/>
  <c r="D39" i="2" l="1"/>
  <c r="D41" i="2"/>
  <c r="D42" i="2"/>
  <c r="D43" i="2"/>
  <c r="D40" i="2"/>
  <c r="D45" i="2" l="1"/>
</calcChain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<sst xmlns="http://schemas.openxmlformats.org/spreadsheetml/2006/main" count="71" uniqueCount="34">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</sst>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DAB3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E2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2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indent="3"/>
    </xf>
    <xf numFmtId="0" fontId="6" fillId="4" borderId="7" xfId="0" applyFont="1" applyFill="1" applyBorder="1" applyAlignment="1">
      <alignment horizontal="left" indent="3"/>
    </xf>
    <xf numFmtId="164" fontId="0" fillId="0" borderId="8" xfId="0" applyNumberFormat="1" applyBorder="1" applyAlignment="1">
      <alignment horizontal="center"/>
    </xf>
    <xf numFmtId="0" fontId="6" fillId="4" borderId="9" xfId="0" applyFont="1" applyFill="1" applyBorder="1" applyAlignment="1">
      <alignment horizontal="left" indent="3"/>
    </xf>
    <xf numFmtId="0" fontId="6" fillId="4" borderId="10" xfId="0" applyFont="1" applyFill="1" applyBorder="1" applyAlignment="1">
      <alignment horizontal="left" indent="3"/>
    </xf>
    <xf numFmtId="10" fontId="0" fillId="0" borderId="11" xfId="1" applyNumberFormat="1" applyFont="1" applyBorder="1" applyAlignment="1">
      <alignment horizontal="center"/>
    </xf>
    <xf numFmtId="0" fontId="6" fillId="4" borderId="12" xfId="0" applyFont="1" applyFill="1" applyBorder="1" applyAlignment="1">
      <alignment horizontal="left" indent="3"/>
    </xf>
    <xf numFmtId="0" fontId="6" fillId="4" borderId="13" xfId="0" applyFont="1" applyFill="1" applyBorder="1" applyAlignment="1">
      <alignment horizontal="left" indent="3"/>
    </xf>
    <xf numFmtId="164" fontId="0" fillId="0" borderId="14" xfId="0" applyNumberForma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6" fillId="0" borderId="6" xfId="0" applyFont="1" applyBorder="1" applyAlignment="1">
      <alignment horizontal="left" indent="3"/>
    </xf>
    <xf numFmtId="0" fontId="6" fillId="0" borderId="7" xfId="0" applyFont="1" applyBorder="1" applyAlignment="1">
      <alignment horizontal="left" indent="3"/>
    </xf>
    <xf numFmtId="0" fontId="6" fillId="0" borderId="9" xfId="0" applyFont="1" applyBorder="1" applyAlignment="1">
      <alignment horizontal="left" indent="3"/>
    </xf>
    <xf numFmtId="0" fontId="6" fillId="0" borderId="10" xfId="0" applyFont="1" applyBorder="1" applyAlignment="1">
      <alignment horizontal="left" indent="3"/>
    </xf>
    <xf numFmtId="0" fontId="0" fillId="0" borderId="11" xfId="0" applyBorder="1" applyAlignment="1">
      <alignment horizontal="center"/>
    </xf>
    <xf numFmtId="0" fontId="7" fillId="6" borderId="9" xfId="0" applyFont="1" applyFill="1" applyBorder="1" applyAlignment="1">
      <alignment horizontal="left" indent="3"/>
    </xf>
    <xf numFmtId="0" fontId="7" fillId="6" borderId="10" xfId="0" applyFont="1" applyFill="1" applyBorder="1" applyAlignment="1">
      <alignment horizontal="left" indent="3"/>
    </xf>
    <xf numFmtId="8" fontId="0" fillId="6" borderId="11" xfId="0" applyNumberFormat="1" applyFill="1" applyBorder="1" applyAlignment="1">
      <alignment horizontal="center"/>
    </xf>
    <xf numFmtId="0" fontId="7" fillId="6" borderId="12" xfId="0" applyFont="1" applyFill="1" applyBorder="1" applyAlignment="1">
      <alignment horizontal="left" indent="3"/>
    </xf>
    <xf numFmtId="0" fontId="7" fillId="6" borderId="13" xfId="0" applyFont="1" applyFill="1" applyBorder="1" applyAlignment="1">
      <alignment horizontal="left" indent="3"/>
    </xf>
    <xf numFmtId="8" fontId="0" fillId="6" borderId="14" xfId="0" applyNumberFormat="1" applyFill="1" applyBorder="1" applyAlignment="1">
      <alignment horizontal="center"/>
    </xf>
    <xf numFmtId="0" fontId="6" fillId="0" borderId="0" xfId="0" applyFont="1"/>
    <xf numFmtId="0" fontId="8" fillId="5" borderId="3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4" fillId="0" borderId="0" xfId="0" applyFont="1"/>
    <xf numFmtId="0" fontId="6" fillId="6" borderId="6" xfId="0" applyFont="1" applyFill="1" applyBorder="1" applyAlignment="1">
      <alignment horizontal="left" indent="3"/>
    </xf>
    <xf numFmtId="8" fontId="0" fillId="6" borderId="7" xfId="0" applyNumberFormat="1" applyFill="1" applyBorder="1" applyAlignment="1">
      <alignment horizontal="center"/>
    </xf>
    <xf numFmtId="8" fontId="0" fillId="6" borderId="8" xfId="0" applyNumberFormat="1" applyFill="1" applyBorder="1" applyAlignment="1">
      <alignment horizontal="center"/>
    </xf>
    <xf numFmtId="0" fontId="6" fillId="6" borderId="9" xfId="0" applyFont="1" applyFill="1" applyBorder="1" applyAlignment="1">
      <alignment horizontal="left" indent="3"/>
    </xf>
    <xf numFmtId="8" fontId="0" fillId="6" borderId="10" xfId="0" applyNumberFormat="1" applyFill="1" applyBorder="1" applyAlignment="1">
      <alignment horizontal="center"/>
    </xf>
    <xf numFmtId="0" fontId="6" fillId="6" borderId="12" xfId="0" applyFont="1" applyFill="1" applyBorder="1" applyAlignment="1">
      <alignment horizontal="left" indent="3"/>
    </xf>
    <xf numFmtId="8" fontId="0" fillId="6" borderId="13" xfId="0" applyNumberFormat="1" applyFill="1" applyBorder="1" applyAlignment="1">
      <alignment horizontal="center"/>
    </xf>
    <xf numFmtId="0" fontId="2" fillId="2" borderId="0" xfId="2"/>
    <xf numFmtId="0" fontId="2" fillId="2" borderId="0" xfId="2" applyAlignment="1"/>
    <xf numFmtId="0" fontId="3" fillId="4" borderId="0" xfId="0" applyFont="1" applyFill="1"/>
    <xf numFmtId="164" fontId="0" fillId="4" borderId="0" xfId="0" applyNumberFormat="1" applyFill="1" applyAlignment="1">
      <alignment horizontal="left"/>
    </xf>
    <xf numFmtId="0" fontId="0" fillId="4" borderId="0" xfId="0" applyFill="1"/>
    <xf numFmtId="0" fontId="3" fillId="7" borderId="0" xfId="0" applyFont="1" applyFill="1" applyAlignment="1">
      <alignment horizontal="center"/>
    </xf>
    <xf numFmtId="0" fontId="3" fillId="7" borderId="0" xfId="0" applyFont="1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7" borderId="0" xfId="0" applyFill="1"/>
    <xf numFmtId="164" fontId="0" fillId="7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0" fontId="9" fillId="2" borderId="0" xfId="2" applyFont="1"/>
    <xf numFmtId="9" fontId="2" fillId="2" borderId="0" xfId="1" applyFont="1" applyFill="1"/>
    <xf numFmtId="0" fontId="0" fillId="0" borderId="15" xfId="0" applyBorder="1"/>
    <xf numFmtId="0" fontId="0" fillId="0" borderId="15" xfId="0" applyBorder="1" applyAlignment="1">
      <alignment horizontal="center"/>
    </xf>
    <xf numFmtId="9" fontId="0" fillId="0" borderId="15" xfId="0" applyNumberFormat="1" applyBorder="1" applyAlignment="1">
      <alignment horizontal="center"/>
    </xf>
  </cellXfs>
  <cellStyles count="3">
    <cellStyle name="Neutral" xfId="2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77471</xdr:colOff>
      <xdr:row>0</xdr:row>
      <xdr:rowOff>124463</xdr:rowOff>
    </xdr:from>
    <xdr:to>
      <xdr:col>3</xdr:col>
      <xdr:colOff>708091</xdr:colOff>
      <xdr:row>9</xdr:row>
      <xdr:rowOff>60961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40AD0-B271-4AAA-99A5-58044D222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571" y="127003"/>
          <a:ext cx="6106860" cy="15773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ara-my.sharepoint.com/personal/a842967_yara_com/Documents/Documents/Amanda/BootCamp%20Santander.xlsx" TargetMode="External"/><Relationship Id="rId1" Type="http://schemas.openxmlformats.org/officeDocument/2006/relationships/externalLinkPath" Target="BootCamp%20Santan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ção ao Excel"/>
      <sheetName val="Criar e Trabalhar com tabelas"/>
      <sheetName val="Sheet1"/>
      <sheetName val="DESAFIO INVESTIMENTO"/>
      <sheetName val="Sheet2"/>
    </sheetNames>
    <sheetDataSet>
      <sheetData sheetId="0"/>
      <sheetData sheetId="1"/>
      <sheetData sheetId="2"/>
      <sheetData sheetId="3">
        <row r="14">
          <cell r="D14">
            <v>6.0000000000000001E-3</v>
          </cell>
        </row>
        <row r="19">
          <cell r="D19">
            <v>1260</v>
          </cell>
        </row>
        <row r="20">
          <cell r="D20">
            <v>10</v>
          </cell>
        </row>
        <row r="21">
          <cell r="D21">
            <v>1.0789999999999999E-2</v>
          </cell>
        </row>
        <row r="22">
          <cell r="D22">
            <v>306538.10778801696</v>
          </cell>
        </row>
      </sheetData>
      <sheetData sheetId="4">
        <row r="3">
          <cell r="A3" t="str">
            <v>CHAVE</v>
          </cell>
          <cell r="B3" t="str">
            <v>PERFIL</v>
          </cell>
          <cell r="C3" t="str">
            <v>TIPO DE FII</v>
          </cell>
          <cell r="D3" t="str">
            <v>%</v>
          </cell>
        </row>
        <row r="4">
          <cell r="A4" t="str">
            <v>Conservador-PAPEL</v>
          </cell>
          <cell r="B4" t="str">
            <v>Conservador</v>
          </cell>
          <cell r="C4" t="str">
            <v>PAPEL</v>
          </cell>
          <cell r="D4">
            <v>0.3</v>
          </cell>
        </row>
        <row r="5">
          <cell r="A5" t="str">
            <v>Conservador-TIJOLO</v>
          </cell>
          <cell r="B5" t="str">
            <v>Conservador</v>
          </cell>
          <cell r="C5" t="str">
            <v>TIJOLO</v>
          </cell>
          <cell r="D5">
            <v>0.5</v>
          </cell>
        </row>
        <row r="6">
          <cell r="A6" t="str">
            <v>Conservador-HÍBRIDOS</v>
          </cell>
          <cell r="B6" t="str">
            <v>Conservador</v>
          </cell>
          <cell r="C6" t="str">
            <v>HÍBRIDOS</v>
          </cell>
          <cell r="D6">
            <v>0.1</v>
          </cell>
        </row>
        <row r="7">
          <cell r="A7" t="str">
            <v>Conservador-FOFs</v>
          </cell>
          <cell r="B7" t="str">
            <v>Conservador</v>
          </cell>
          <cell r="C7" t="str">
            <v>FOFs</v>
          </cell>
          <cell r="D7">
            <v>0.1</v>
          </cell>
        </row>
        <row r="8">
          <cell r="A8" t="str">
            <v>Conservador-DESENVOLVIMENTO</v>
          </cell>
          <cell r="B8" t="str">
            <v>Conservador</v>
          </cell>
          <cell r="C8" t="str">
            <v>DESENVOLVIMENTO</v>
          </cell>
          <cell r="D8">
            <v>0</v>
          </cell>
        </row>
        <row r="9">
          <cell r="A9" t="str">
            <v>Conservador-HOTELARIAS</v>
          </cell>
          <cell r="B9" t="str">
            <v>Conservador</v>
          </cell>
          <cell r="C9" t="str">
            <v>HOTELARIAS</v>
          </cell>
          <cell r="D9">
            <v>0</v>
          </cell>
        </row>
        <row r="10">
          <cell r="A10" t="str">
            <v>Moderado-PAPEL</v>
          </cell>
          <cell r="B10" t="str">
            <v>Moderado</v>
          </cell>
          <cell r="C10" t="str">
            <v>PAPEL</v>
          </cell>
          <cell r="D10">
            <v>0.32</v>
          </cell>
        </row>
        <row r="11">
          <cell r="A11" t="str">
            <v>Moderado-TIJOLO</v>
          </cell>
          <cell r="B11" t="str">
            <v>Moderado</v>
          </cell>
          <cell r="C11" t="str">
            <v>TIJOLO</v>
          </cell>
          <cell r="D11">
            <v>0.35</v>
          </cell>
        </row>
        <row r="12">
          <cell r="A12" t="str">
            <v>Moderado-HÍBRIDOS</v>
          </cell>
          <cell r="B12" t="str">
            <v>Moderado</v>
          </cell>
          <cell r="C12" t="str">
            <v>HÍBRIDOS</v>
          </cell>
          <cell r="D12">
            <v>0.08</v>
          </cell>
        </row>
        <row r="13">
          <cell r="A13" t="str">
            <v>Moderado-FOFs</v>
          </cell>
          <cell r="B13" t="str">
            <v>Moderado</v>
          </cell>
          <cell r="C13" t="str">
            <v>FOFs</v>
          </cell>
          <cell r="D13">
            <v>0.05</v>
          </cell>
        </row>
        <row r="14">
          <cell r="A14" t="str">
            <v>Moderado-DESENVOLVIMENTO</v>
          </cell>
          <cell r="B14" t="str">
            <v>Moderado</v>
          </cell>
          <cell r="C14" t="str">
            <v>DESENVOLVIMENTO</v>
          </cell>
          <cell r="D14">
            <v>0.1</v>
          </cell>
        </row>
        <row r="15">
          <cell r="A15" t="str">
            <v>Moderado-HOTELARIAS</v>
          </cell>
          <cell r="B15" t="str">
            <v>Moderado</v>
          </cell>
          <cell r="C15" t="str">
            <v>HOTELARIAS</v>
          </cell>
          <cell r="D15">
            <v>0.1</v>
          </cell>
        </row>
        <row r="16">
          <cell r="A16" t="str">
            <v>Agressivo-PAPEL</v>
          </cell>
          <cell r="B16" t="str">
            <v>Agressivo</v>
          </cell>
          <cell r="C16" t="str">
            <v>PAPEL</v>
          </cell>
          <cell r="D16">
            <v>0.5</v>
          </cell>
        </row>
        <row r="17">
          <cell r="A17" t="str">
            <v>Agressivo-TIJOLO</v>
          </cell>
          <cell r="B17" t="str">
            <v>Agressivo</v>
          </cell>
          <cell r="C17" t="str">
            <v>TIJOLO</v>
          </cell>
          <cell r="D17">
            <v>0.1</v>
          </cell>
        </row>
        <row r="18">
          <cell r="A18" t="str">
            <v>Agressivo-HÍBRIDOS</v>
          </cell>
          <cell r="B18" t="str">
            <v>Agressivo</v>
          </cell>
          <cell r="C18" t="str">
            <v>HÍBRIDOS</v>
          </cell>
          <cell r="D18">
            <v>0.05</v>
          </cell>
        </row>
        <row r="19">
          <cell r="A19" t="str">
            <v>Agressivo-FOFs</v>
          </cell>
          <cell r="B19" t="str">
            <v>Agressivo</v>
          </cell>
          <cell r="C19" t="str">
            <v>FOFs</v>
          </cell>
          <cell r="D19">
            <v>0.05</v>
          </cell>
        </row>
        <row r="20">
          <cell r="A20" t="str">
            <v>Agressivo-DESENVOLVIMENTO</v>
          </cell>
          <cell r="B20" t="str">
            <v>Agressivo</v>
          </cell>
          <cell r="C20" t="str">
            <v>DESENVOLVIMENTO</v>
          </cell>
          <cell r="D20">
            <v>0.2</v>
          </cell>
        </row>
        <row r="21">
          <cell r="A21" t="str">
            <v>Agressivo-HOTELARIAS</v>
          </cell>
          <cell r="B21" t="str">
            <v>Agressivo</v>
          </cell>
          <cell r="C21" t="str">
            <v>HOTELARIAS</v>
          </cell>
          <cell r="D21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EB4C-3153-45C1-8C7D-1D83A019D3FF}">
  <dimension ref="A10:H69"/>
  <sheetViews>
    <sheetView showGridLines="0" tabSelected="1" zoomScaleNormal="100" workbookViewId="0">
      <selection activeCell="B49" sqref="B49"/>
    </sheetView>
  </sheetViews>
  <sheetFormatPr defaultColWidth="0" defaultRowHeight="14.5" x14ac:dyDescent="0.35"/>
  <cols>
    <col min="1" max="1" width="6" customWidth="1"/>
    <col min="2" max="2" width="49.81640625" customWidth="1"/>
    <col min="3" max="3" width="28.54296875" bestFit="1" customWidth="1"/>
    <col min="4" max="4" width="12.36328125" bestFit="1" customWidth="1"/>
    <col min="5" max="5" width="2.1796875" customWidth="1"/>
    <col min="6" max="6" width="2.08984375" customWidth="1"/>
    <col min="7" max="7" width="6.54296875" customWidth="1"/>
    <col min="8" max="8" width="2.08984375" customWidth="1"/>
    <col min="9" max="16384" width="3.81640625" hidden="1"/>
  </cols>
  <sheetData>
    <row r="10" spans="2:4" ht="15" thickBot="1" x14ac:dyDescent="0.4"/>
    <row r="11" spans="2:4" ht="14.5" customHeight="1" x14ac:dyDescent="0.35">
      <c r="B11" s="1" t="s">
        <v>0</v>
      </c>
      <c r="C11" s="2"/>
      <c r="D11" s="3"/>
    </row>
    <row r="12" spans="2:4" ht="14.5" customHeight="1" x14ac:dyDescent="0.35">
      <c r="B12" s="4"/>
      <c r="C12" s="5"/>
      <c r="D12" s="6"/>
    </row>
    <row r="13" spans="2:4" ht="16.5" thickBot="1" x14ac:dyDescent="0.45">
      <c r="B13" s="7" t="s">
        <v>1</v>
      </c>
      <c r="C13" s="8"/>
      <c r="D13" s="9">
        <v>4200</v>
      </c>
    </row>
    <row r="14" spans="2:4" ht="16.5" thickBot="1" x14ac:dyDescent="0.45">
      <c r="B14" s="10" t="s">
        <v>2</v>
      </c>
      <c r="C14" s="11"/>
      <c r="D14" s="12">
        <v>6.0000000000000001E-3</v>
      </c>
    </row>
    <row r="15" spans="2:4" ht="16.5" thickBot="1" x14ac:dyDescent="0.45">
      <c r="B15" s="13" t="s">
        <v>3</v>
      </c>
      <c r="C15" s="14"/>
      <c r="D15" s="15">
        <f>D13*30%</f>
        <v>1260</v>
      </c>
    </row>
    <row r="16" spans="2:4" ht="15" thickBot="1" x14ac:dyDescent="0.4"/>
    <row r="17" spans="1:4" ht="14.5" customHeight="1" x14ac:dyDescent="0.35">
      <c r="B17" s="16" t="s">
        <v>4</v>
      </c>
      <c r="C17" s="17"/>
      <c r="D17" s="18"/>
    </row>
    <row r="18" spans="1:4" ht="14.5" customHeight="1" x14ac:dyDescent="0.35">
      <c r="B18" s="19"/>
      <c r="C18" s="20"/>
      <c r="D18" s="21"/>
    </row>
    <row r="19" spans="1:4" ht="16.5" thickBot="1" x14ac:dyDescent="0.45">
      <c r="B19" s="22" t="s">
        <v>5</v>
      </c>
      <c r="C19" s="23"/>
      <c r="D19" s="9">
        <v>1260</v>
      </c>
    </row>
    <row r="20" spans="1:4" ht="16.5" thickBot="1" x14ac:dyDescent="0.45">
      <c r="B20" s="24" t="s">
        <v>6</v>
      </c>
      <c r="C20" s="25"/>
      <c r="D20" s="26">
        <v>10</v>
      </c>
    </row>
    <row r="21" spans="1:4" ht="16.5" thickBot="1" x14ac:dyDescent="0.45">
      <c r="B21" s="24" t="s">
        <v>7</v>
      </c>
      <c r="C21" s="25"/>
      <c r="D21" s="12">
        <v>1.0789999999999999E-2</v>
      </c>
    </row>
    <row r="22" spans="1:4" ht="16.5" thickBot="1" x14ac:dyDescent="0.45">
      <c r="B22" s="27" t="s">
        <v>8</v>
      </c>
      <c r="C22" s="28"/>
      <c r="D22" s="29">
        <f>FV(taxa_mensal,qtd_anos*12,aporte*-1)</f>
        <v>306538.10778801696</v>
      </c>
    </row>
    <row r="23" spans="1:4" ht="16.5" thickBot="1" x14ac:dyDescent="0.45">
      <c r="B23" s="30" t="s">
        <v>9</v>
      </c>
      <c r="C23" s="31"/>
      <c r="D23" s="32">
        <f>patrimonio*rendimento_carteira</f>
        <v>1839.2286467281017</v>
      </c>
    </row>
    <row r="24" spans="1:4" ht="16.5" thickBot="1" x14ac:dyDescent="0.45">
      <c r="B24" s="33"/>
    </row>
    <row r="25" spans="1:4" ht="14.5" customHeight="1" x14ac:dyDescent="0.35">
      <c r="B25" s="16" t="s">
        <v>10</v>
      </c>
      <c r="C25" s="17"/>
      <c r="D25" s="34" t="s">
        <v>11</v>
      </c>
    </row>
    <row r="26" spans="1:4" ht="14.5" customHeight="1" x14ac:dyDescent="0.35">
      <c r="B26" s="19"/>
      <c r="C26" s="20"/>
      <c r="D26" s="35"/>
    </row>
    <row r="27" spans="1:4" ht="16.5" thickBot="1" x14ac:dyDescent="0.45">
      <c r="A27" s="36">
        <v>2</v>
      </c>
      <c r="B27" s="37" t="s">
        <v>12</v>
      </c>
      <c r="C27" s="38">
        <f>FV($D$21,$A27*12,$D$19*-1)</f>
        <v>34306.810395032975</v>
      </c>
      <c r="D27" s="39">
        <f>C27*rendimento_carteira</f>
        <v>205.84086237019787</v>
      </c>
    </row>
    <row r="28" spans="1:4" ht="16.5" thickBot="1" x14ac:dyDescent="0.45">
      <c r="A28" s="36">
        <v>5</v>
      </c>
      <c r="B28" s="40" t="s">
        <v>13</v>
      </c>
      <c r="C28" s="41">
        <f>FV($D$21,$A28*12,$D$19*-1)</f>
        <v>105558.91163809443</v>
      </c>
      <c r="D28" s="29">
        <f>C28*rendimento_carteira</f>
        <v>633.35346982856663</v>
      </c>
    </row>
    <row r="29" spans="1:4" ht="16.5" thickBot="1" x14ac:dyDescent="0.45">
      <c r="A29" s="36">
        <v>10</v>
      </c>
      <c r="B29" s="40" t="s">
        <v>14</v>
      </c>
      <c r="C29" s="41">
        <f>FV($D$21,$A29*12,$D$19*-1)</f>
        <v>306538.10778801696</v>
      </c>
      <c r="D29" s="29">
        <f>C29*rendimento_carteira</f>
        <v>1839.2286467281017</v>
      </c>
    </row>
    <row r="30" spans="1:4" ht="16.5" thickBot="1" x14ac:dyDescent="0.45">
      <c r="A30" s="36">
        <v>20</v>
      </c>
      <c r="B30" s="40" t="s">
        <v>15</v>
      </c>
      <c r="C30" s="41">
        <f>FV($D$21,$A30*12,$D$19*-1)</f>
        <v>1417749.9841223215</v>
      </c>
      <c r="D30" s="29">
        <f>C30*rendimento_carteira</f>
        <v>8506.4999047339297</v>
      </c>
    </row>
    <row r="31" spans="1:4" ht="16.5" thickBot="1" x14ac:dyDescent="0.45">
      <c r="A31" s="36">
        <v>30</v>
      </c>
      <c r="B31" s="42" t="s">
        <v>16</v>
      </c>
      <c r="C31" s="43">
        <f>FV($D$21,$A31*12,$D$19*-1)</f>
        <v>5445933.7653059401</v>
      </c>
      <c r="D31" s="32">
        <f>C31*rendimento_carteira</f>
        <v>32675.602591835643</v>
      </c>
    </row>
    <row r="35" spans="2:4" x14ac:dyDescent="0.35">
      <c r="B35" s="44" t="s">
        <v>17</v>
      </c>
      <c r="C35" s="45" t="s">
        <v>18</v>
      </c>
      <c r="D35" s="45"/>
    </row>
    <row r="36" spans="2:4" x14ac:dyDescent="0.35">
      <c r="B36" s="46" t="s">
        <v>19</v>
      </c>
      <c r="C36" s="47">
        <f>aporte</f>
        <v>1260</v>
      </c>
      <c r="D36" s="48"/>
    </row>
    <row r="38" spans="2:4" x14ac:dyDescent="0.35">
      <c r="B38" s="49" t="s">
        <v>20</v>
      </c>
      <c r="C38" s="50" t="s">
        <v>21</v>
      </c>
      <c r="D38" s="49" t="s">
        <v>22</v>
      </c>
    </row>
    <row r="39" spans="2:4" x14ac:dyDescent="0.35">
      <c r="B39" s="51" t="s">
        <v>23</v>
      </c>
      <c r="C39" s="52">
        <f>VLOOKUP($C$35&amp;"-"&amp;B39,[1]Sheet2!A:D,4,FALSE)</f>
        <v>0.5</v>
      </c>
      <c r="D39" s="53">
        <f>$C$36*C39</f>
        <v>630</v>
      </c>
    </row>
    <row r="40" spans="2:4" x14ac:dyDescent="0.35">
      <c r="B40" s="51" t="s">
        <v>24</v>
      </c>
      <c r="C40" s="52">
        <f>VLOOKUP($C$35&amp;"-"&amp;B40,[1]Sheet2!A:D,4,FALSE)</f>
        <v>0.1</v>
      </c>
      <c r="D40" s="53">
        <f t="shared" ref="D40:D44" si="0">$C$36*C40</f>
        <v>126</v>
      </c>
    </row>
    <row r="41" spans="2:4" x14ac:dyDescent="0.35">
      <c r="B41" s="51" t="s">
        <v>25</v>
      </c>
      <c r="C41" s="52">
        <f>VLOOKUP($C$35&amp;"-"&amp;B41,[1]Sheet2!A:D,4,FALSE)</f>
        <v>0.05</v>
      </c>
      <c r="D41" s="53">
        <f t="shared" si="0"/>
        <v>63</v>
      </c>
    </row>
    <row r="42" spans="2:4" x14ac:dyDescent="0.35">
      <c r="B42" s="51" t="s">
        <v>26</v>
      </c>
      <c r="C42" s="52">
        <f>VLOOKUP($C$35&amp;"-"&amp;B42,[1]Sheet2!A:D,4,FALSE)</f>
        <v>0.05</v>
      </c>
      <c r="D42" s="53">
        <f t="shared" si="0"/>
        <v>63</v>
      </c>
    </row>
    <row r="43" spans="2:4" x14ac:dyDescent="0.35">
      <c r="B43" s="51" t="s">
        <v>27</v>
      </c>
      <c r="C43" s="52">
        <f>VLOOKUP($C$35&amp;"-"&amp;B43,[1]Sheet2!A:D,4,FALSE)</f>
        <v>0.2</v>
      </c>
      <c r="D43" s="53">
        <f t="shared" si="0"/>
        <v>252</v>
      </c>
    </row>
    <row r="44" spans="2:4" x14ac:dyDescent="0.35">
      <c r="B44" s="51" t="s">
        <v>28</v>
      </c>
      <c r="C44" s="52">
        <f>VLOOKUP($C$35&amp;"-"&amp;B44,[1]Sheet2!A:D,4,FALSE)</f>
        <v>0.1</v>
      </c>
      <c r="D44" s="53">
        <f t="shared" si="0"/>
        <v>126</v>
      </c>
    </row>
    <row r="45" spans="2:4" x14ac:dyDescent="0.35">
      <c r="B45" s="54"/>
      <c r="C45" s="54"/>
      <c r="D45" s="55">
        <f>SUM(D39:D44)</f>
        <v>1260</v>
      </c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</sheetData>
  <mergeCells count="14">
    <mergeCell ref="D25:D26"/>
    <mergeCell ref="B19:C19"/>
    <mergeCell ref="B20:C20"/>
    <mergeCell ref="B21:C21"/>
    <mergeCell ref="B22:C22"/>
    <mergeCell ref="B23:C23"/>
    <mergeCell ref="B25:C26"/>
    <mergeCell ref="B11:C12"/>
    <mergeCell ref="D11:D12"/>
    <mergeCell ref="B13:C13"/>
    <mergeCell ref="B14:C14"/>
    <mergeCell ref="B15:C15"/>
    <mergeCell ref="B17:C18"/>
    <mergeCell ref="D17:D18"/>
  </mergeCells>
  <dataValidations count="1">
    <dataValidation type="list" allowBlank="1" showInputMessage="1" showErrorMessage="1" sqref="C35" xr:uid="{B33DAAF9-FFDF-4206-BBCB-677128814D8A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CC67-E97B-458D-9B18-2B1D6E21D6F1}">
  <dimension ref="A3:H21"/>
  <sheetViews>
    <sheetView workbookViewId="0">
      <selection activeCell="G20" sqref="G20"/>
    </sheetView>
  </sheetViews>
  <sheetFormatPr defaultRowHeight="14.5" x14ac:dyDescent="0.35"/>
  <cols>
    <col min="1" max="1" width="28.54296875" bestFit="1" customWidth="1"/>
    <col min="2" max="2" width="11.08984375" bestFit="1" customWidth="1"/>
    <col min="3" max="3" width="17.453125" bestFit="1" customWidth="1"/>
    <col min="7" max="7" width="15.453125" bestFit="1" customWidth="1"/>
  </cols>
  <sheetData>
    <row r="3" spans="1:8" x14ac:dyDescent="0.35">
      <c r="A3" t="s">
        <v>29</v>
      </c>
      <c r="B3" t="s">
        <v>17</v>
      </c>
      <c r="C3" s="56" t="s">
        <v>20</v>
      </c>
      <c r="D3" t="s">
        <v>30</v>
      </c>
    </row>
    <row r="4" spans="1:8" x14ac:dyDescent="0.35">
      <c r="A4" t="str">
        <f>B4&amp;"-"&amp;C4</f>
        <v>Conservador-PAPEL</v>
      </c>
      <c r="B4" t="s">
        <v>31</v>
      </c>
      <c r="C4" s="51" t="s">
        <v>23</v>
      </c>
      <c r="D4" s="52">
        <v>0.3</v>
      </c>
      <c r="H4" t="s">
        <v>30</v>
      </c>
    </row>
    <row r="5" spans="1:8" x14ac:dyDescent="0.35">
      <c r="A5" t="str">
        <f t="shared" ref="A5:A21" si="0">B5&amp;"-"&amp;C5</f>
        <v>Conservador-TIJOLO</v>
      </c>
      <c r="B5" t="s">
        <v>31</v>
      </c>
      <c r="C5" s="51" t="s">
        <v>24</v>
      </c>
      <c r="D5" s="52">
        <v>0.5</v>
      </c>
      <c r="G5" s="57" t="s">
        <v>32</v>
      </c>
      <c r="H5" s="58">
        <f>VLOOKUP(G5,A:D,4,FALSE)</f>
        <v>0.35</v>
      </c>
    </row>
    <row r="6" spans="1:8" x14ac:dyDescent="0.35">
      <c r="A6" t="str">
        <f t="shared" si="0"/>
        <v>Conservador-HÍBRIDOS</v>
      </c>
      <c r="B6" t="s">
        <v>31</v>
      </c>
      <c r="C6" s="51" t="s">
        <v>25</v>
      </c>
      <c r="D6" s="52">
        <v>0.1</v>
      </c>
    </row>
    <row r="7" spans="1:8" x14ac:dyDescent="0.35">
      <c r="A7" t="str">
        <f t="shared" si="0"/>
        <v>Conservador-FOFs</v>
      </c>
      <c r="B7" t="s">
        <v>31</v>
      </c>
      <c r="C7" s="51" t="s">
        <v>26</v>
      </c>
      <c r="D7" s="52">
        <v>0.1</v>
      </c>
    </row>
    <row r="8" spans="1:8" x14ac:dyDescent="0.35">
      <c r="A8" t="str">
        <f t="shared" si="0"/>
        <v>Conservador-DESENVOLVIMENTO</v>
      </c>
      <c r="B8" t="s">
        <v>31</v>
      </c>
      <c r="C8" s="51" t="s">
        <v>27</v>
      </c>
      <c r="D8" s="52">
        <v>0</v>
      </c>
    </row>
    <row r="9" spans="1:8" ht="15" thickBot="1" x14ac:dyDescent="0.4">
      <c r="A9" s="59" t="str">
        <f t="shared" si="0"/>
        <v>Conservador-HOTELARIAS</v>
      </c>
      <c r="B9" s="59" t="s">
        <v>31</v>
      </c>
      <c r="C9" s="60" t="s">
        <v>28</v>
      </c>
      <c r="D9" s="61">
        <v>0</v>
      </c>
    </row>
    <row r="10" spans="1:8" ht="15" thickTop="1" x14ac:dyDescent="0.35">
      <c r="A10" t="str">
        <f t="shared" si="0"/>
        <v>Moderado-PAPEL</v>
      </c>
      <c r="B10" t="s">
        <v>33</v>
      </c>
      <c r="C10" s="51" t="s">
        <v>23</v>
      </c>
      <c r="D10" s="52">
        <v>0.32</v>
      </c>
    </row>
    <row r="11" spans="1:8" x14ac:dyDescent="0.35">
      <c r="A11" t="str">
        <f t="shared" si="0"/>
        <v>Moderado-TIJOLO</v>
      </c>
      <c r="B11" t="s">
        <v>33</v>
      </c>
      <c r="C11" s="51" t="s">
        <v>24</v>
      </c>
      <c r="D11" s="52">
        <v>0.35</v>
      </c>
    </row>
    <row r="12" spans="1:8" x14ac:dyDescent="0.35">
      <c r="A12" t="str">
        <f t="shared" si="0"/>
        <v>Moderado-HÍBRIDOS</v>
      </c>
      <c r="B12" t="s">
        <v>33</v>
      </c>
      <c r="C12" s="51" t="s">
        <v>25</v>
      </c>
      <c r="D12" s="52">
        <v>0.08</v>
      </c>
    </row>
    <row r="13" spans="1:8" x14ac:dyDescent="0.35">
      <c r="A13" t="str">
        <f t="shared" si="0"/>
        <v>Moderado-FOFs</v>
      </c>
      <c r="B13" t="s">
        <v>33</v>
      </c>
      <c r="C13" s="51" t="s">
        <v>26</v>
      </c>
      <c r="D13" s="52">
        <v>0.05</v>
      </c>
    </row>
    <row r="14" spans="1:8" x14ac:dyDescent="0.35">
      <c r="A14" t="str">
        <f t="shared" si="0"/>
        <v>Moderado-DESENVOLVIMENTO</v>
      </c>
      <c r="B14" t="s">
        <v>33</v>
      </c>
      <c r="C14" s="51" t="s">
        <v>27</v>
      </c>
      <c r="D14" s="52">
        <v>0.1</v>
      </c>
    </row>
    <row r="15" spans="1:8" ht="15" thickBot="1" x14ac:dyDescent="0.4">
      <c r="A15" s="59" t="str">
        <f t="shared" si="0"/>
        <v>Moderado-HOTELARIAS</v>
      </c>
      <c r="B15" s="59" t="s">
        <v>33</v>
      </c>
      <c r="C15" s="60" t="s">
        <v>28</v>
      </c>
      <c r="D15" s="61">
        <v>0.1</v>
      </c>
    </row>
    <row r="16" spans="1:8" ht="15" thickTop="1" x14ac:dyDescent="0.35">
      <c r="A16" t="str">
        <f t="shared" si="0"/>
        <v>Agressivo-PAPEL</v>
      </c>
      <c r="B16" t="s">
        <v>18</v>
      </c>
      <c r="C16" s="51" t="s">
        <v>23</v>
      </c>
      <c r="D16" s="52">
        <v>0.5</v>
      </c>
    </row>
    <row r="17" spans="1:4" x14ac:dyDescent="0.35">
      <c r="A17" t="str">
        <f t="shared" si="0"/>
        <v>Agressivo-TIJOLO</v>
      </c>
      <c r="B17" t="s">
        <v>18</v>
      </c>
      <c r="C17" s="51" t="s">
        <v>24</v>
      </c>
      <c r="D17" s="52">
        <v>0.1</v>
      </c>
    </row>
    <row r="18" spans="1:4" x14ac:dyDescent="0.35">
      <c r="A18" t="str">
        <f t="shared" si="0"/>
        <v>Agressivo-HÍBRIDOS</v>
      </c>
      <c r="B18" t="s">
        <v>18</v>
      </c>
      <c r="C18" s="51" t="s">
        <v>25</v>
      </c>
      <c r="D18" s="52">
        <v>0.05</v>
      </c>
    </row>
    <row r="19" spans="1:4" x14ac:dyDescent="0.35">
      <c r="A19" t="str">
        <f t="shared" si="0"/>
        <v>Agressivo-FOFs</v>
      </c>
      <c r="B19" t="s">
        <v>18</v>
      </c>
      <c r="C19" s="51" t="s">
        <v>26</v>
      </c>
      <c r="D19" s="52">
        <v>0.05</v>
      </c>
    </row>
    <row r="20" spans="1:4" x14ac:dyDescent="0.35">
      <c r="A20" t="str">
        <f t="shared" si="0"/>
        <v>Agressivo-DESENVOLVIMENTO</v>
      </c>
      <c r="B20" t="s">
        <v>18</v>
      </c>
      <c r="C20" s="51" t="s">
        <v>27</v>
      </c>
      <c r="D20" s="52">
        <v>0.2</v>
      </c>
    </row>
    <row r="21" spans="1:4" x14ac:dyDescent="0.35">
      <c r="A21" t="str">
        <f t="shared" si="0"/>
        <v>Agressivo-HOTELARIAS</v>
      </c>
      <c r="B21" t="s">
        <v>18</v>
      </c>
      <c r="C21" s="51" t="s">
        <v>28</v>
      </c>
      <c r="D21" s="52">
        <v>0.1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a6354e-6d04-4730-95c3-6ecb9619f301}" enabled="1" method="Privileged" siteId="{ef8a53ea-1a1c-4189-b792-c832dcaea5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DESAFIO INVESTIMENTO</vt:lpstr>
      <vt:lpstr>Tabela de apoio</vt:lpstr>
      <vt:lpstr>aporte</vt:lpstr>
      <vt:lpstr>patrimonio</vt:lpstr>
      <vt:lpstr>qtd_anos</vt:lpstr>
      <vt:lpstr>rendimento_carteira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Gondim</dc:creator>
  <cp:lastModifiedBy>Amanda Gondim</cp:lastModifiedBy>
  <dcterms:created xsi:type="dcterms:W3CDTF">2026-09-07T22:54:01Z</dcterms:created>
  <dcterms:modified xsi:type="dcterms:W3CDTF">2026-09-07T22:56:00Z</dcterms:modified>
</cp:coreProperties>
</file>